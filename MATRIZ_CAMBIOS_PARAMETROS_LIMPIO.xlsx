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f8a3802af127234b/Documentos/GitHub/sicetac-api/"/>
    </mc:Choice>
  </mc:AlternateContent>
  <xr:revisionPtr revIDLastSave="11" documentId="13_ncr:1_{491D5EEB-B188-4C06-B1EA-6F9D7B88381D}" xr6:coauthVersionLast="47" xr6:coauthVersionMax="47" xr10:uidLastSave="{43B17371-6E6A-46C0-A5D2-376EDFFDB5FE}"/>
  <bookViews>
    <workbookView xWindow="-110" yWindow="-110" windowWidth="22180" windowHeight="14140" xr2:uid="{00000000-000D-0000-FFFF-FFFF00000000}"/>
  </bookViews>
  <sheets>
    <sheet name="Sheet1" sheetId="1" r:id="rId1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0" i="1" l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<sst xmlns="http://schemas.openxmlformats.org/spreadsheetml/2006/main" count="73" uniqueCount="40">
  <si>
    <t>TIPO CONSOLIDADO</t>
  </si>
  <si>
    <t>COSTO HORA ADICIONAL</t>
  </si>
  <si>
    <t>HORAS HÁBILES DEL MES</t>
  </si>
  <si>
    <t>VALOR COMBUSTIBLE GALÓN ACPM</t>
  </si>
  <si>
    <t>TONELADAS DE LA CONFIGURACIÓN</t>
  </si>
  <si>
    <t>PLANO VELOCIDAD PROMEDIO  CARGADO</t>
  </si>
  <si>
    <t>ONDULADO VELOCIDAD PROMEDIO CARGADO</t>
  </si>
  <si>
    <t>MONTAÑA VELOCIDAD PROMEDIO CARGADO</t>
  </si>
  <si>
    <t>RECORRIDO URBANO VELOCIDAD PROMEDIO CARGADO</t>
  </si>
  <si>
    <t>AFIRMADO VELOCIDAD PROMEDIO CARGADO</t>
  </si>
  <si>
    <t>PLANO VELOCIDAD PROMEDIO  VACIO</t>
  </si>
  <si>
    <t>ONDULADO VELOCIDAD PROMEDIO VACIO</t>
  </si>
  <si>
    <t>MONTAÑA VELOCIDAD PROMEDIO VACIO</t>
  </si>
  <si>
    <t>RECORRIDO URBANO VELOCIDAD PROMEDIO VACIO</t>
  </si>
  <si>
    <t>AFIRMADO VELOCIDAD PROMEDIO VACIO</t>
  </si>
  <si>
    <t>PLANO CONSUMO DE COMBUSTIBLE  CARGADO</t>
  </si>
  <si>
    <t>ONDULADO CONSUMO DE COMBUSTIBLE CARGADO</t>
  </si>
  <si>
    <t>MONTAÑA CONSUMO DE COMBUSTIBLE CARGADO</t>
  </si>
  <si>
    <t>RECORRIDO URBANO CONSUMO DE COMBUSTIBLE CARGADO</t>
  </si>
  <si>
    <t>AFIRMADO CONSUMO DE COMBUSTIBLE CARGADO</t>
  </si>
  <si>
    <t>PLANO CONSUMO DE COMBUSTIBLE  VACIO</t>
  </si>
  <si>
    <t>ONDULADO CONSUMO DE COMBUSTIBLE VACIO</t>
  </si>
  <si>
    <t>MONTAÑA CONSUMO DE COMBUSTIBLE VACIO</t>
  </si>
  <si>
    <t>RECORRIDO URBANO CONSUMO DE COMBUSTIBLE VACIO</t>
  </si>
  <si>
    <t>AFIRMADO CONSUMO DE COMBUSTIBLE VACIO</t>
  </si>
  <si>
    <t>COSTOS VARIABLES</t>
  </si>
  <si>
    <t>IMPREVISTOS * KILOMETRO</t>
  </si>
  <si>
    <t>C278</t>
  </si>
  <si>
    <t>C289</t>
  </si>
  <si>
    <t>C2910</t>
  </si>
  <si>
    <t>C2M10</t>
  </si>
  <si>
    <t>C3</t>
  </si>
  <si>
    <t>C2S2</t>
  </si>
  <si>
    <t>C2S3</t>
  </si>
  <si>
    <t>C3S2</t>
  </si>
  <si>
    <t>C3S3</t>
  </si>
  <si>
    <t>TIPO_VEHICULO</t>
  </si>
  <si>
    <t>EJES_CONFIGURACION</t>
  </si>
  <si>
    <t>MES</t>
  </si>
  <si>
    <t>V3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</si>
</sst>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3" fillId="0" borderId="0"/>
    <xf numFmtId="0" fontId="4" fillId="0" borderId="0"/>
    <xf numFmtId="0" fontId="5" fillId="0" borderId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44" fontId="0" fillId="0" borderId="0" xfId="10" applyFont="1"/>
    <xf numFmtId="8" fontId="0" fillId="0" borderId="0" xfId="10" applyNumberFormat="1" applyFont="1"/>
  </cellXfs>
  <cellStyles count="11">
    <cellStyle name="Millares 2" xfId="8" xr:uid="{E0E47D35-1527-406E-BE09-D7A60204D652}"/>
    <cellStyle name="Millares 3" xfId="6" xr:uid="{3268FFD9-A980-444F-B6FE-F7CDBD3C43C7}"/>
    <cellStyle name="Millares 4" xfId="1" xr:uid="{DE7DF88D-3B5F-443C-88AE-35A555ADF5AF}"/>
    <cellStyle name="Moneda" xfId="10" builtinId="4"/>
    <cellStyle name="Moneda 2" xfId="9" xr:uid="{31F44988-A427-4D47-AF42-B98055DEABC1}"/>
    <cellStyle name="Moneda 3" xfId="7" xr:uid="{7EC350E3-0BF9-47E8-9D26-0CB104258F24}"/>
    <cellStyle name="Moneda 4" xfId="2" xr:uid="{0745CBE7-541C-4DEF-B9D1-F195F0A1C621}"/>
    <cellStyle name="Normal" xfId="0" builtinId="0"/>
    <cellStyle name="Normal 2" xfId="4" xr:uid="{56BF6568-DD63-4D40-95DA-F17F75798CF1}"/>
    <cellStyle name="Normal 3" xfId="3" xr:uid="{C9EAA5D4-7A27-435F-9CA3-3F4822EFD781}"/>
    <cellStyle name="Normal 4" xfId="5" xr:uid="{55107D75-8E6E-4D4B-8B59-5AA4BE61AB4F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30"/>
  <sheetViews>
    <sheetView tabSelected="1" workbookViewId="0">
      <pane ySplit="1" topLeftCell="A17" activePane="bottomLeft" state="frozen"/>
      <selection pane="bottomLeft" activeCell="A30" sqref="A30"/>
    </sheetView>
  </sheetViews>
  <sheetFormatPr baseColWidth="10" defaultColWidth="9.1796875" defaultRowHeight="14.5" x14ac:dyDescent="0.35"/>
  <cols>
    <col min="2" max="2" width="14.36328125" bestFit="1" customWidth="1"/>
    <col min="3" max="3" width="20.1796875" bestFit="1" customWidth="1"/>
    <col min="4" max="4" width="17.26953125" customWidth="1"/>
  </cols>
  <sheetData>
    <row r="1" spans="1:30" s="2" customFormat="1" ht="130.5" x14ac:dyDescent="0.35">
      <c r="A1" s="1" t="s">
        <v>38</v>
      </c>
      <c r="B1" s="1" t="s">
        <v>36</v>
      </c>
      <c r="C1" s="1" t="s">
        <v>37</v>
      </c>
      <c r="D1" s="1" t="s">
        <v>0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1" t="s">
        <v>16</v>
      </c>
      <c r="U1" s="1" t="s">
        <v>17</v>
      </c>
      <c r="V1" s="1" t="s">
        <v>18</v>
      </c>
      <c r="W1" s="1" t="s">
        <v>19</v>
      </c>
      <c r="X1" s="1" t="s">
        <v>20</v>
      </c>
      <c r="Y1" s="1" t="s">
        <v>21</v>
      </c>
      <c r="Z1" s="1" t="s">
        <v>22</v>
      </c>
      <c r="AA1" s="1" t="s">
        <v>23</v>
      </c>
      <c r="AB1" s="1" t="s">
        <v>24</v>
      </c>
      <c r="AC1" s="1" t="s">
        <v>25</v>
      </c>
      <c r="AD1" s="1" t="s">
        <v>26</v>
      </c>
    </row>
    <row r="2" spans="1:30" x14ac:dyDescent="0.35">
      <c r="A2">
        <v>202601</v>
      </c>
      <c r="B2" t="s">
        <v>27</v>
      </c>
      <c r="C2">
        <v>2</v>
      </c>
      <c r="D2" t="str">
        <f>+A2&amp;B2</f>
        <v>202601C278</v>
      </c>
      <c r="E2">
        <v>0</v>
      </c>
      <c r="F2">
        <v>288</v>
      </c>
      <c r="G2">
        <v>11176</v>
      </c>
      <c r="H2">
        <v>4</v>
      </c>
      <c r="I2">
        <v>62</v>
      </c>
      <c r="J2">
        <v>50</v>
      </c>
      <c r="K2">
        <v>25</v>
      </c>
      <c r="L2">
        <v>25</v>
      </c>
      <c r="M2">
        <v>10</v>
      </c>
      <c r="N2">
        <v>74.7</v>
      </c>
      <c r="O2">
        <v>62.25</v>
      </c>
      <c r="P2">
        <v>31.13</v>
      </c>
      <c r="Q2">
        <v>31.13</v>
      </c>
      <c r="R2">
        <v>12.45</v>
      </c>
      <c r="S2">
        <v>19</v>
      </c>
      <c r="T2">
        <v>14.2</v>
      </c>
      <c r="U2">
        <v>9.1999999999999993</v>
      </c>
      <c r="V2">
        <v>9.1999999999999993</v>
      </c>
      <c r="W2">
        <v>4.5999999999999996</v>
      </c>
      <c r="X2">
        <v>45.59</v>
      </c>
      <c r="Y2">
        <v>34.08</v>
      </c>
      <c r="Z2">
        <v>22.07</v>
      </c>
      <c r="AA2">
        <v>22.07</v>
      </c>
      <c r="AB2">
        <v>11.03</v>
      </c>
      <c r="AC2">
        <v>621.19079520265984</v>
      </c>
      <c r="AD2">
        <v>621.19079520265984</v>
      </c>
    </row>
    <row r="3" spans="1:30" x14ac:dyDescent="0.35">
      <c r="A3">
        <v>202601</v>
      </c>
      <c r="B3" t="s">
        <v>28</v>
      </c>
      <c r="C3">
        <v>2</v>
      </c>
      <c r="D3" t="str">
        <f t="shared" ref="D3:D10" si="0">+A3&amp;B3</f>
        <v>202601C289</v>
      </c>
      <c r="E3">
        <v>0</v>
      </c>
      <c r="F3">
        <v>288</v>
      </c>
      <c r="G3">
        <v>11176</v>
      </c>
      <c r="H3">
        <v>5</v>
      </c>
      <c r="I3">
        <v>62</v>
      </c>
      <c r="J3">
        <v>50</v>
      </c>
      <c r="K3">
        <v>25</v>
      </c>
      <c r="L3">
        <v>25</v>
      </c>
      <c r="M3">
        <v>10</v>
      </c>
      <c r="N3">
        <v>74.7</v>
      </c>
      <c r="O3">
        <v>62.25</v>
      </c>
      <c r="P3">
        <v>31.13</v>
      </c>
      <c r="Q3">
        <v>31.13</v>
      </c>
      <c r="R3">
        <v>12.45</v>
      </c>
      <c r="S3">
        <v>18</v>
      </c>
      <c r="T3">
        <v>13.7</v>
      </c>
      <c r="U3">
        <v>8.6999999999999993</v>
      </c>
      <c r="V3">
        <v>8.6999999999999993</v>
      </c>
      <c r="W3">
        <v>4.3</v>
      </c>
      <c r="X3">
        <v>43.19</v>
      </c>
      <c r="Y3">
        <v>32.880000000000003</v>
      </c>
      <c r="Z3">
        <v>20.87</v>
      </c>
      <c r="AA3">
        <v>20.87</v>
      </c>
      <c r="AB3">
        <v>10.31</v>
      </c>
      <c r="AC3">
        <v>641.68019711842942</v>
      </c>
      <c r="AD3">
        <v>641.68019711842942</v>
      </c>
    </row>
    <row r="4" spans="1:30" x14ac:dyDescent="0.35">
      <c r="A4">
        <v>202601</v>
      </c>
      <c r="B4" t="s">
        <v>29</v>
      </c>
      <c r="C4">
        <v>2</v>
      </c>
      <c r="D4" t="str">
        <f t="shared" si="0"/>
        <v>202601C2910</v>
      </c>
      <c r="E4">
        <v>0</v>
      </c>
      <c r="F4">
        <v>288</v>
      </c>
      <c r="G4">
        <v>11176</v>
      </c>
      <c r="H4">
        <v>6</v>
      </c>
      <c r="I4">
        <v>62</v>
      </c>
      <c r="J4">
        <v>50</v>
      </c>
      <c r="K4">
        <v>25</v>
      </c>
      <c r="L4">
        <v>25</v>
      </c>
      <c r="M4">
        <v>10</v>
      </c>
      <c r="N4">
        <v>74.7</v>
      </c>
      <c r="O4">
        <v>62.25</v>
      </c>
      <c r="P4">
        <v>31.13</v>
      </c>
      <c r="Q4">
        <v>31.13</v>
      </c>
      <c r="R4">
        <v>12.45</v>
      </c>
      <c r="S4">
        <v>17</v>
      </c>
      <c r="T4">
        <v>13</v>
      </c>
      <c r="U4">
        <v>8</v>
      </c>
      <c r="V4">
        <v>8</v>
      </c>
      <c r="W4">
        <v>4</v>
      </c>
      <c r="X4">
        <v>40.79</v>
      </c>
      <c r="Y4">
        <v>31.2</v>
      </c>
      <c r="Z4">
        <v>19.190000000000001</v>
      </c>
      <c r="AA4">
        <v>19.190000000000001</v>
      </c>
      <c r="AB4">
        <v>9.6</v>
      </c>
      <c r="AC4">
        <v>654.13520226409128</v>
      </c>
      <c r="AD4">
        <v>654.13520226409128</v>
      </c>
    </row>
    <row r="5" spans="1:30" x14ac:dyDescent="0.35">
      <c r="A5">
        <v>202601</v>
      </c>
      <c r="B5" t="s">
        <v>30</v>
      </c>
      <c r="C5">
        <v>2</v>
      </c>
      <c r="D5" t="str">
        <f t="shared" si="0"/>
        <v>202601C2M10</v>
      </c>
      <c r="E5">
        <v>0</v>
      </c>
      <c r="F5">
        <v>288</v>
      </c>
      <c r="G5">
        <v>11176</v>
      </c>
      <c r="H5">
        <v>9</v>
      </c>
      <c r="I5">
        <v>60</v>
      </c>
      <c r="J5">
        <v>35</v>
      </c>
      <c r="K5">
        <v>20</v>
      </c>
      <c r="L5">
        <v>20</v>
      </c>
      <c r="M5">
        <v>9.5500000000000007</v>
      </c>
      <c r="N5">
        <v>74.7</v>
      </c>
      <c r="O5">
        <v>43.58</v>
      </c>
      <c r="P5">
        <v>24.9</v>
      </c>
      <c r="Q5">
        <v>24.9</v>
      </c>
      <c r="R5">
        <v>11.89</v>
      </c>
      <c r="S5">
        <v>12.7</v>
      </c>
      <c r="T5">
        <v>10.01</v>
      </c>
      <c r="U5">
        <v>7.81</v>
      </c>
      <c r="V5">
        <v>7.81</v>
      </c>
      <c r="W5">
        <v>4.97</v>
      </c>
      <c r="X5">
        <v>30.48</v>
      </c>
      <c r="Y5">
        <v>24.02</v>
      </c>
      <c r="Z5">
        <v>18.73</v>
      </c>
      <c r="AA5">
        <v>18.73</v>
      </c>
      <c r="AB5">
        <v>11.93</v>
      </c>
      <c r="AC5">
        <v>753.87139803673222</v>
      </c>
      <c r="AD5">
        <v>753.87139803673222</v>
      </c>
    </row>
    <row r="6" spans="1:30" x14ac:dyDescent="0.35">
      <c r="A6">
        <v>202601</v>
      </c>
      <c r="B6" t="s">
        <v>31</v>
      </c>
      <c r="C6">
        <v>3</v>
      </c>
      <c r="D6" t="str">
        <f t="shared" si="0"/>
        <v>202601C3</v>
      </c>
      <c r="E6">
        <v>0</v>
      </c>
      <c r="F6">
        <v>288</v>
      </c>
      <c r="G6">
        <v>11176</v>
      </c>
      <c r="H6">
        <v>16</v>
      </c>
      <c r="I6">
        <v>56.59</v>
      </c>
      <c r="J6">
        <v>32.54</v>
      </c>
      <c r="K6">
        <v>18.649999999999999</v>
      </c>
      <c r="L6">
        <v>18.649999999999999</v>
      </c>
      <c r="M6">
        <v>11.87</v>
      </c>
      <c r="N6">
        <v>70.45</v>
      </c>
      <c r="O6">
        <v>40.51</v>
      </c>
      <c r="P6">
        <v>23.22</v>
      </c>
      <c r="Q6">
        <v>23.22</v>
      </c>
      <c r="R6">
        <v>14.78</v>
      </c>
      <c r="S6">
        <v>8.06</v>
      </c>
      <c r="T6">
        <v>6.22</v>
      </c>
      <c r="U6">
        <v>4.66</v>
      </c>
      <c r="V6">
        <v>4.66</v>
      </c>
      <c r="W6">
        <v>2.97</v>
      </c>
      <c r="X6">
        <v>19.34</v>
      </c>
      <c r="Y6">
        <v>14.93</v>
      </c>
      <c r="Z6">
        <v>11.18</v>
      </c>
      <c r="AA6">
        <v>11.18</v>
      </c>
      <c r="AB6">
        <v>7.11</v>
      </c>
      <c r="AC6">
        <v>1004.3210002374922</v>
      </c>
      <c r="AD6">
        <v>1004.3210002374922</v>
      </c>
    </row>
    <row r="7" spans="1:30" x14ac:dyDescent="0.35">
      <c r="A7">
        <v>202601</v>
      </c>
      <c r="B7" t="s">
        <v>32</v>
      </c>
      <c r="C7" t="s">
        <v>32</v>
      </c>
      <c r="D7" t="str">
        <f t="shared" si="0"/>
        <v>202601C2S2</v>
      </c>
      <c r="E7">
        <v>0</v>
      </c>
      <c r="F7">
        <v>288</v>
      </c>
      <c r="G7">
        <v>11176</v>
      </c>
      <c r="H7">
        <v>22</v>
      </c>
      <c r="I7">
        <v>63.04</v>
      </c>
      <c r="J7">
        <v>32.96</v>
      </c>
      <c r="K7">
        <v>25.81</v>
      </c>
      <c r="L7">
        <v>25.81</v>
      </c>
      <c r="M7">
        <v>16.43</v>
      </c>
      <c r="N7">
        <v>78.48</v>
      </c>
      <c r="O7">
        <v>41.04</v>
      </c>
      <c r="P7">
        <v>32.130000000000003</v>
      </c>
      <c r="Q7">
        <v>32.130000000000003</v>
      </c>
      <c r="R7">
        <v>20.46</v>
      </c>
      <c r="S7">
        <v>8.76</v>
      </c>
      <c r="T7">
        <v>6.76</v>
      </c>
      <c r="U7">
        <v>5.07</v>
      </c>
      <c r="V7">
        <v>5.07</v>
      </c>
      <c r="W7">
        <v>3.23</v>
      </c>
      <c r="X7">
        <v>21.02</v>
      </c>
      <c r="Y7">
        <v>16.22</v>
      </c>
      <c r="Z7">
        <v>12.16</v>
      </c>
      <c r="AA7">
        <v>12.16</v>
      </c>
      <c r="AB7">
        <v>7.74</v>
      </c>
      <c r="AC7">
        <v>1044.1863026440785</v>
      </c>
      <c r="AD7">
        <v>1044.1863026440785</v>
      </c>
    </row>
    <row r="8" spans="1:30" x14ac:dyDescent="0.35">
      <c r="A8">
        <v>202601</v>
      </c>
      <c r="B8" t="s">
        <v>33</v>
      </c>
      <c r="C8" t="s">
        <v>33</v>
      </c>
      <c r="D8" t="str">
        <f t="shared" si="0"/>
        <v>202601C2S3</v>
      </c>
      <c r="E8">
        <v>0</v>
      </c>
      <c r="F8">
        <v>288</v>
      </c>
      <c r="G8">
        <v>11176</v>
      </c>
      <c r="H8">
        <v>27</v>
      </c>
      <c r="I8">
        <v>63.04</v>
      </c>
      <c r="J8">
        <v>32.96</v>
      </c>
      <c r="K8">
        <v>25.81</v>
      </c>
      <c r="L8">
        <v>25.81</v>
      </c>
      <c r="M8">
        <v>16.43</v>
      </c>
      <c r="N8">
        <v>78.48</v>
      </c>
      <c r="O8">
        <v>41.04</v>
      </c>
      <c r="P8">
        <v>32.130000000000003</v>
      </c>
      <c r="Q8">
        <v>32.130000000000003</v>
      </c>
      <c r="R8">
        <v>20.46</v>
      </c>
      <c r="S8">
        <v>8.76</v>
      </c>
      <c r="T8">
        <v>6.76</v>
      </c>
      <c r="U8">
        <v>5.07</v>
      </c>
      <c r="V8">
        <v>5.07</v>
      </c>
      <c r="W8">
        <v>3.23</v>
      </c>
      <c r="X8">
        <v>21.02</v>
      </c>
      <c r="Y8">
        <v>16.22</v>
      </c>
      <c r="Z8">
        <v>12.16</v>
      </c>
      <c r="AA8">
        <v>12.16</v>
      </c>
      <c r="AB8">
        <v>7.74</v>
      </c>
      <c r="AC8">
        <v>1133.4106040215327</v>
      </c>
      <c r="AD8">
        <v>1133.4106040215327</v>
      </c>
    </row>
    <row r="9" spans="1:30" x14ac:dyDescent="0.35">
      <c r="A9">
        <v>202601</v>
      </c>
      <c r="B9" t="s">
        <v>34</v>
      </c>
      <c r="C9" t="s">
        <v>34</v>
      </c>
      <c r="D9" t="str">
        <f t="shared" si="0"/>
        <v>202601C3S2</v>
      </c>
      <c r="E9">
        <v>0</v>
      </c>
      <c r="F9">
        <v>288</v>
      </c>
      <c r="G9">
        <v>11176</v>
      </c>
      <c r="H9">
        <v>31</v>
      </c>
      <c r="I9">
        <v>56.25</v>
      </c>
      <c r="J9">
        <v>33.130000000000003</v>
      </c>
      <c r="K9">
        <v>23.57</v>
      </c>
      <c r="L9">
        <v>23.57</v>
      </c>
      <c r="M9">
        <v>15</v>
      </c>
      <c r="N9">
        <v>70.03</v>
      </c>
      <c r="O9">
        <v>41.25</v>
      </c>
      <c r="P9">
        <v>29.34</v>
      </c>
      <c r="Q9">
        <v>29.34</v>
      </c>
      <c r="R9">
        <v>18.68</v>
      </c>
      <c r="S9">
        <v>6.8</v>
      </c>
      <c r="T9">
        <v>5.04</v>
      </c>
      <c r="U9">
        <v>3.42</v>
      </c>
      <c r="V9">
        <v>3.42</v>
      </c>
      <c r="W9">
        <v>2.88</v>
      </c>
      <c r="X9">
        <v>16.32</v>
      </c>
      <c r="Y9">
        <v>12.1</v>
      </c>
      <c r="Z9">
        <v>8.1999999999999993</v>
      </c>
      <c r="AA9">
        <v>8.1999999999999993</v>
      </c>
      <c r="AB9">
        <v>5.22</v>
      </c>
      <c r="AC9">
        <v>1299.3439973875873</v>
      </c>
      <c r="AD9">
        <v>1299.3439973875873</v>
      </c>
    </row>
    <row r="10" spans="1:30" x14ac:dyDescent="0.35">
      <c r="A10">
        <v>202601</v>
      </c>
      <c r="B10" t="s">
        <v>35</v>
      </c>
      <c r="C10" t="s">
        <v>35</v>
      </c>
      <c r="D10" t="str">
        <f t="shared" si="0"/>
        <v>202601C3S3</v>
      </c>
      <c r="E10">
        <v>0</v>
      </c>
      <c r="F10">
        <v>288</v>
      </c>
      <c r="G10">
        <v>11176</v>
      </c>
      <c r="H10">
        <v>34</v>
      </c>
      <c r="I10">
        <v>56.25</v>
      </c>
      <c r="J10">
        <v>33.130000000000003</v>
      </c>
      <c r="K10">
        <v>23.57</v>
      </c>
      <c r="L10">
        <v>23.57</v>
      </c>
      <c r="M10">
        <v>15</v>
      </c>
      <c r="N10">
        <v>70.03</v>
      </c>
      <c r="O10">
        <v>41.25</v>
      </c>
      <c r="P10">
        <v>29.34</v>
      </c>
      <c r="Q10">
        <v>29.34</v>
      </c>
      <c r="R10">
        <v>18.68</v>
      </c>
      <c r="S10">
        <v>6.48</v>
      </c>
      <c r="T10">
        <v>4.8</v>
      </c>
      <c r="U10">
        <v>3.26</v>
      </c>
      <c r="V10">
        <v>3.26</v>
      </c>
      <c r="W10">
        <v>2.0699999999999998</v>
      </c>
      <c r="X10">
        <v>15.55</v>
      </c>
      <c r="Y10">
        <v>11.52</v>
      </c>
      <c r="Z10">
        <v>7.82</v>
      </c>
      <c r="AA10">
        <v>7.82</v>
      </c>
      <c r="AB10">
        <v>4.97</v>
      </c>
      <c r="AC10">
        <v>1564.8375949968336</v>
      </c>
      <c r="AD10">
        <v>1564.8375949968336</v>
      </c>
    </row>
    <row r="11" spans="1:30" x14ac:dyDescent="0.35">
      <c r="A11">
        <v>202602</v>
      </c>
      <c r="B11" t="s">
        <v>27</v>
      </c>
      <c r="C11">
        <v>2</v>
      </c>
      <c r="D11" t="str">
        <f>+A11&amp;B11</f>
        <v>202602C278</v>
      </c>
      <c r="E11">
        <v>0</v>
      </c>
      <c r="F11">
        <v>288</v>
      </c>
      <c r="G11">
        <v>11276</v>
      </c>
      <c r="H11">
        <v>4</v>
      </c>
      <c r="I11">
        <v>62</v>
      </c>
      <c r="J11">
        <v>50</v>
      </c>
      <c r="K11">
        <v>25</v>
      </c>
      <c r="L11">
        <v>25</v>
      </c>
      <c r="M11">
        <v>10</v>
      </c>
      <c r="N11">
        <v>74.7</v>
      </c>
      <c r="O11">
        <v>62.25</v>
      </c>
      <c r="P11">
        <v>31.13</v>
      </c>
      <c r="Q11">
        <v>31.13</v>
      </c>
      <c r="R11">
        <v>12.45</v>
      </c>
      <c r="S11">
        <v>19</v>
      </c>
      <c r="T11">
        <v>14.2</v>
      </c>
      <c r="U11">
        <v>9.1999999999999993</v>
      </c>
      <c r="V11">
        <v>9.1999999999999993</v>
      </c>
      <c r="W11">
        <v>4.5999999999999996</v>
      </c>
      <c r="X11">
        <v>48.44</v>
      </c>
      <c r="Y11">
        <v>36.21</v>
      </c>
      <c r="Z11">
        <v>23.45</v>
      </c>
      <c r="AA11">
        <v>23.45</v>
      </c>
      <c r="AB11">
        <v>11.72</v>
      </c>
      <c r="AC11">
        <v>625.48080272324262</v>
      </c>
      <c r="AD11">
        <v>625.48080272324262</v>
      </c>
    </row>
    <row r="12" spans="1:30" x14ac:dyDescent="0.35">
      <c r="A12">
        <v>202602</v>
      </c>
      <c r="B12" t="s">
        <v>28</v>
      </c>
      <c r="C12">
        <v>2</v>
      </c>
      <c r="D12" t="str">
        <f>+A12&amp;B12</f>
        <v>202602C289</v>
      </c>
      <c r="E12">
        <v>0</v>
      </c>
      <c r="F12">
        <v>288</v>
      </c>
      <c r="G12">
        <v>11276</v>
      </c>
      <c r="H12">
        <v>5</v>
      </c>
      <c r="I12">
        <v>62</v>
      </c>
      <c r="J12">
        <v>50</v>
      </c>
      <c r="K12">
        <v>25</v>
      </c>
      <c r="L12">
        <v>25</v>
      </c>
      <c r="M12">
        <v>10</v>
      </c>
      <c r="N12">
        <v>74.7</v>
      </c>
      <c r="O12">
        <v>62.25</v>
      </c>
      <c r="P12">
        <v>31.13</v>
      </c>
      <c r="Q12">
        <v>31.13</v>
      </c>
      <c r="R12">
        <v>12.45</v>
      </c>
      <c r="S12">
        <v>18</v>
      </c>
      <c r="T12">
        <v>13.7</v>
      </c>
      <c r="U12">
        <v>8.6999999999999993</v>
      </c>
      <c r="V12">
        <v>8.6999999999999993</v>
      </c>
      <c r="W12">
        <v>4.3</v>
      </c>
      <c r="X12">
        <v>45.89</v>
      </c>
      <c r="Y12">
        <v>34.93</v>
      </c>
      <c r="Z12">
        <v>22.17</v>
      </c>
      <c r="AA12">
        <v>22.17</v>
      </c>
      <c r="AB12">
        <v>10.96</v>
      </c>
      <c r="AC12">
        <v>645.97020463901208</v>
      </c>
      <c r="AD12">
        <v>645.97020463901208</v>
      </c>
    </row>
    <row r="13" spans="1:30" x14ac:dyDescent="0.35">
      <c r="A13">
        <v>202602</v>
      </c>
      <c r="B13" t="s">
        <v>29</v>
      </c>
      <c r="C13">
        <v>2</v>
      </c>
      <c r="D13" t="str">
        <f t="shared" ref="D13:D20" si="1">+A13&amp;B13</f>
        <v>202602C2910</v>
      </c>
      <c r="E13">
        <v>0</v>
      </c>
      <c r="F13">
        <v>288</v>
      </c>
      <c r="G13">
        <v>11276</v>
      </c>
      <c r="H13">
        <v>6</v>
      </c>
      <c r="I13">
        <v>62</v>
      </c>
      <c r="J13">
        <v>50</v>
      </c>
      <c r="K13">
        <v>25</v>
      </c>
      <c r="L13">
        <v>25</v>
      </c>
      <c r="M13">
        <v>10</v>
      </c>
      <c r="N13">
        <v>74.7</v>
      </c>
      <c r="O13">
        <v>62.25</v>
      </c>
      <c r="P13">
        <v>31.13</v>
      </c>
      <c r="Q13">
        <v>31.13</v>
      </c>
      <c r="R13">
        <v>12.45</v>
      </c>
      <c r="S13">
        <v>17</v>
      </c>
      <c r="T13">
        <v>13</v>
      </c>
      <c r="U13">
        <v>8</v>
      </c>
      <c r="V13">
        <v>8</v>
      </c>
      <c r="W13">
        <v>4</v>
      </c>
      <c r="X13">
        <v>43.34</v>
      </c>
      <c r="Y13">
        <v>33.15</v>
      </c>
      <c r="Z13">
        <v>20.39</v>
      </c>
      <c r="AA13">
        <v>20.39</v>
      </c>
      <c r="AB13">
        <v>10.19</v>
      </c>
      <c r="AC13">
        <v>658.42519988917047</v>
      </c>
      <c r="AD13">
        <v>658.42519988917047</v>
      </c>
    </row>
    <row r="14" spans="1:30" x14ac:dyDescent="0.35">
      <c r="A14">
        <v>202602</v>
      </c>
      <c r="B14" t="s">
        <v>30</v>
      </c>
      <c r="C14">
        <v>2</v>
      </c>
      <c r="D14" t="str">
        <f t="shared" si="1"/>
        <v>202602C2M10</v>
      </c>
      <c r="E14">
        <v>0</v>
      </c>
      <c r="F14">
        <v>288</v>
      </c>
      <c r="G14">
        <v>11276</v>
      </c>
      <c r="H14">
        <v>9</v>
      </c>
      <c r="I14">
        <v>60</v>
      </c>
      <c r="J14">
        <v>35</v>
      </c>
      <c r="K14">
        <v>20</v>
      </c>
      <c r="L14">
        <v>20</v>
      </c>
      <c r="M14">
        <v>9.5500000000000007</v>
      </c>
      <c r="N14">
        <v>74.7</v>
      </c>
      <c r="O14">
        <v>43.58</v>
      </c>
      <c r="P14">
        <v>24.9</v>
      </c>
      <c r="Q14">
        <v>24.9</v>
      </c>
      <c r="R14">
        <v>11.89</v>
      </c>
      <c r="S14">
        <v>12.7</v>
      </c>
      <c r="T14">
        <v>10.01</v>
      </c>
      <c r="U14">
        <v>7.81</v>
      </c>
      <c r="V14">
        <v>7.81</v>
      </c>
      <c r="W14">
        <v>4.97</v>
      </c>
      <c r="X14">
        <v>32.380000000000003</v>
      </c>
      <c r="Y14">
        <v>25.53</v>
      </c>
      <c r="Z14">
        <v>19.899999999999999</v>
      </c>
      <c r="AA14">
        <v>19.899999999999999</v>
      </c>
      <c r="AB14">
        <v>12.67</v>
      </c>
      <c r="AC14">
        <v>758.1613956618113</v>
      </c>
      <c r="AD14">
        <v>758.1613956618113</v>
      </c>
    </row>
    <row r="15" spans="1:30" x14ac:dyDescent="0.35">
      <c r="A15">
        <v>202602</v>
      </c>
      <c r="B15" t="s">
        <v>31</v>
      </c>
      <c r="C15">
        <v>3</v>
      </c>
      <c r="D15" t="str">
        <f t="shared" si="1"/>
        <v>202602C3</v>
      </c>
      <c r="E15">
        <v>0</v>
      </c>
      <c r="F15">
        <v>288</v>
      </c>
      <c r="G15">
        <v>11276</v>
      </c>
      <c r="H15">
        <v>16</v>
      </c>
      <c r="I15">
        <v>56.59</v>
      </c>
      <c r="J15">
        <v>32.54</v>
      </c>
      <c r="K15">
        <v>18.649999999999999</v>
      </c>
      <c r="L15">
        <v>18.649999999999999</v>
      </c>
      <c r="M15">
        <v>11.87</v>
      </c>
      <c r="N15">
        <v>70.45</v>
      </c>
      <c r="O15">
        <v>40.51</v>
      </c>
      <c r="P15">
        <v>23.22</v>
      </c>
      <c r="Q15">
        <v>23.22</v>
      </c>
      <c r="R15">
        <v>14.78</v>
      </c>
      <c r="S15">
        <v>8.06</v>
      </c>
      <c r="T15">
        <v>6.22</v>
      </c>
      <c r="U15">
        <v>4.66</v>
      </c>
      <c r="V15">
        <v>4.66</v>
      </c>
      <c r="W15">
        <v>2.97</v>
      </c>
      <c r="X15">
        <v>20.55</v>
      </c>
      <c r="Y15">
        <v>15.86</v>
      </c>
      <c r="Z15">
        <v>11.88</v>
      </c>
      <c r="AA15">
        <v>11.88</v>
      </c>
      <c r="AB15">
        <v>7.56</v>
      </c>
      <c r="AC15">
        <v>1023.3310045915136</v>
      </c>
      <c r="AD15">
        <v>1023.3310045915136</v>
      </c>
    </row>
    <row r="16" spans="1:30" x14ac:dyDescent="0.35">
      <c r="A16">
        <v>202602</v>
      </c>
      <c r="B16" t="s">
        <v>32</v>
      </c>
      <c r="C16" t="s">
        <v>32</v>
      </c>
      <c r="D16" t="str">
        <f t="shared" si="1"/>
        <v>202602C2S2</v>
      </c>
      <c r="E16">
        <v>0</v>
      </c>
      <c r="F16">
        <v>288</v>
      </c>
      <c r="G16">
        <v>11276</v>
      </c>
      <c r="H16">
        <v>22</v>
      </c>
      <c r="I16">
        <v>63.04</v>
      </c>
      <c r="J16">
        <v>32.96</v>
      </c>
      <c r="K16">
        <v>25.81</v>
      </c>
      <c r="L16">
        <v>25.81</v>
      </c>
      <c r="M16">
        <v>16.43</v>
      </c>
      <c r="N16">
        <v>78.48</v>
      </c>
      <c r="O16">
        <v>41.04</v>
      </c>
      <c r="P16">
        <v>32.130000000000003</v>
      </c>
      <c r="Q16">
        <v>32.130000000000003</v>
      </c>
      <c r="R16">
        <v>20.46</v>
      </c>
      <c r="S16">
        <v>8.76</v>
      </c>
      <c r="T16">
        <v>6.76</v>
      </c>
      <c r="U16">
        <v>5.07</v>
      </c>
      <c r="V16">
        <v>5.07</v>
      </c>
      <c r="W16">
        <v>3.23</v>
      </c>
      <c r="X16">
        <v>22.33</v>
      </c>
      <c r="Y16">
        <v>17.239999999999998</v>
      </c>
      <c r="Z16">
        <v>12.92</v>
      </c>
      <c r="AA16">
        <v>12.92</v>
      </c>
      <c r="AB16">
        <v>8.23</v>
      </c>
      <c r="AC16">
        <v>1078.5162978942369</v>
      </c>
      <c r="AD16">
        <v>1078.5162978942369</v>
      </c>
    </row>
    <row r="17" spans="1:40" x14ac:dyDescent="0.35">
      <c r="A17">
        <v>202602</v>
      </c>
      <c r="B17" t="s">
        <v>33</v>
      </c>
      <c r="C17" t="s">
        <v>33</v>
      </c>
      <c r="D17" t="str">
        <f t="shared" si="1"/>
        <v>202602C2S3</v>
      </c>
      <c r="E17">
        <v>0</v>
      </c>
      <c r="F17">
        <v>288</v>
      </c>
      <c r="G17">
        <v>11276</v>
      </c>
      <c r="H17">
        <v>27</v>
      </c>
      <c r="I17">
        <v>63.04</v>
      </c>
      <c r="J17">
        <v>32.96</v>
      </c>
      <c r="K17">
        <v>25.81</v>
      </c>
      <c r="L17">
        <v>25.81</v>
      </c>
      <c r="M17">
        <v>16.43</v>
      </c>
      <c r="N17">
        <v>78.48</v>
      </c>
      <c r="O17">
        <v>41.04</v>
      </c>
      <c r="P17">
        <v>32.130000000000003</v>
      </c>
      <c r="Q17">
        <v>32.130000000000003</v>
      </c>
      <c r="R17">
        <v>20.46</v>
      </c>
      <c r="S17">
        <v>8.76</v>
      </c>
      <c r="T17">
        <v>6.76</v>
      </c>
      <c r="U17">
        <v>5.07</v>
      </c>
      <c r="V17">
        <v>5.07</v>
      </c>
      <c r="W17">
        <v>3.23</v>
      </c>
      <c r="X17">
        <v>22.33</v>
      </c>
      <c r="Y17">
        <v>17.239999999999998</v>
      </c>
      <c r="Z17">
        <v>12.92</v>
      </c>
      <c r="AA17">
        <v>12.92</v>
      </c>
      <c r="AB17">
        <v>8.23</v>
      </c>
      <c r="AC17">
        <v>1171.6505996675112</v>
      </c>
      <c r="AD17">
        <v>1171.6505996675112</v>
      </c>
    </row>
    <row r="18" spans="1:40" x14ac:dyDescent="0.35">
      <c r="A18">
        <v>202602</v>
      </c>
      <c r="B18" t="s">
        <v>34</v>
      </c>
      <c r="C18" t="s">
        <v>34</v>
      </c>
      <c r="D18" t="str">
        <f t="shared" si="1"/>
        <v>202602C3S2</v>
      </c>
      <c r="E18">
        <v>0</v>
      </c>
      <c r="F18">
        <v>288</v>
      </c>
      <c r="G18">
        <v>11276</v>
      </c>
      <c r="H18">
        <v>31</v>
      </c>
      <c r="I18">
        <v>56.25</v>
      </c>
      <c r="J18">
        <v>33.130000000000003</v>
      </c>
      <c r="K18">
        <v>23.57</v>
      </c>
      <c r="L18">
        <v>23.57</v>
      </c>
      <c r="M18">
        <v>15</v>
      </c>
      <c r="N18">
        <v>70.03</v>
      </c>
      <c r="O18">
        <v>41.25</v>
      </c>
      <c r="P18">
        <v>29.34</v>
      </c>
      <c r="Q18">
        <v>29.34</v>
      </c>
      <c r="R18">
        <v>18.68</v>
      </c>
      <c r="S18">
        <v>6.8</v>
      </c>
      <c r="T18">
        <v>5.04</v>
      </c>
      <c r="U18">
        <v>3.42</v>
      </c>
      <c r="V18">
        <v>3.42</v>
      </c>
      <c r="W18">
        <v>2.88</v>
      </c>
      <c r="X18">
        <v>17.34</v>
      </c>
      <c r="Y18">
        <v>12.85</v>
      </c>
      <c r="Z18">
        <v>8.7200000000000006</v>
      </c>
      <c r="AA18">
        <v>8.7200000000000006</v>
      </c>
      <c r="AB18">
        <v>5.55</v>
      </c>
      <c r="AC18">
        <v>1330.4539958043067</v>
      </c>
      <c r="AD18">
        <v>1330.4539958043067</v>
      </c>
    </row>
    <row r="19" spans="1:40" x14ac:dyDescent="0.35">
      <c r="A19">
        <v>202602</v>
      </c>
      <c r="B19" t="s">
        <v>35</v>
      </c>
      <c r="C19" t="s">
        <v>35</v>
      </c>
      <c r="D19" t="str">
        <f t="shared" si="1"/>
        <v>202602C3S3</v>
      </c>
      <c r="E19">
        <v>0</v>
      </c>
      <c r="F19">
        <v>288</v>
      </c>
      <c r="G19">
        <v>11276</v>
      </c>
      <c r="H19">
        <v>34</v>
      </c>
      <c r="I19">
        <v>56.25</v>
      </c>
      <c r="J19">
        <v>33.130000000000003</v>
      </c>
      <c r="K19">
        <v>23.57</v>
      </c>
      <c r="L19">
        <v>23.57</v>
      </c>
      <c r="M19">
        <v>15</v>
      </c>
      <c r="N19">
        <v>70.03</v>
      </c>
      <c r="O19">
        <v>41.25</v>
      </c>
      <c r="P19">
        <v>29.34</v>
      </c>
      <c r="Q19">
        <v>29.34</v>
      </c>
      <c r="R19">
        <v>18.68</v>
      </c>
      <c r="S19">
        <v>6.48</v>
      </c>
      <c r="T19">
        <v>4.8</v>
      </c>
      <c r="U19">
        <v>3.26</v>
      </c>
      <c r="V19">
        <v>3.26</v>
      </c>
      <c r="W19">
        <v>2.0699999999999998</v>
      </c>
      <c r="X19">
        <v>16.52</v>
      </c>
      <c r="Y19">
        <v>12.24</v>
      </c>
      <c r="Z19">
        <v>8.31</v>
      </c>
      <c r="AA19">
        <v>8.31</v>
      </c>
      <c r="AB19">
        <v>5.28</v>
      </c>
      <c r="AC19">
        <v>1583.7475953926537</v>
      </c>
      <c r="AD19">
        <v>1583.7475953926537</v>
      </c>
    </row>
    <row r="20" spans="1:40" x14ac:dyDescent="0.35">
      <c r="A20">
        <v>202602</v>
      </c>
      <c r="B20" t="s">
        <v>39</v>
      </c>
      <c r="C20" t="s">
        <v>39</v>
      </c>
      <c r="D20" t="str">
        <f t="shared" si="1"/>
        <v>202602V3</v>
      </c>
      <c r="E20">
        <v>0</v>
      </c>
      <c r="F20">
        <v>288</v>
      </c>
      <c r="G20">
        <v>11276</v>
      </c>
      <c r="H20">
        <v>25</v>
      </c>
      <c r="I20">
        <v>57.5</v>
      </c>
      <c r="J20">
        <v>28.5</v>
      </c>
      <c r="K20">
        <v>18.5</v>
      </c>
      <c r="L20">
        <v>18.5</v>
      </c>
      <c r="M20">
        <v>11.77</v>
      </c>
      <c r="N20">
        <v>71.59</v>
      </c>
      <c r="O20">
        <v>35.479999999999997</v>
      </c>
      <c r="P20">
        <v>23.03</v>
      </c>
      <c r="Q20">
        <v>23.03</v>
      </c>
      <c r="R20">
        <v>14.66</v>
      </c>
      <c r="S20">
        <v>9.27</v>
      </c>
      <c r="T20">
        <v>8.4</v>
      </c>
      <c r="U20">
        <v>7.1</v>
      </c>
      <c r="V20">
        <v>7.1</v>
      </c>
      <c r="W20">
        <v>4.5199999999999996</v>
      </c>
      <c r="X20">
        <v>22.25</v>
      </c>
      <c r="Y20">
        <v>20.16</v>
      </c>
      <c r="Z20">
        <v>17.03</v>
      </c>
      <c r="AA20">
        <v>17.03</v>
      </c>
      <c r="AB20">
        <v>10.84</v>
      </c>
      <c r="AC20">
        <v>1776.4791996516785</v>
      </c>
      <c r="AD20">
        <v>1776.4791996516785</v>
      </c>
    </row>
    <row r="21" spans="1:40" x14ac:dyDescent="0.35">
      <c r="A21">
        <v>202603</v>
      </c>
      <c r="B21" t="s">
        <v>27</v>
      </c>
      <c r="C21">
        <v>2</v>
      </c>
      <c r="D21" t="str">
        <f>+A21&amp;B21</f>
        <v>202603C278</v>
      </c>
      <c r="E21">
        <v>0</v>
      </c>
      <c r="F21">
        <v>288</v>
      </c>
      <c r="G21">
        <v>11276</v>
      </c>
      <c r="H21">
        <v>4</v>
      </c>
      <c r="I21">
        <v>62</v>
      </c>
      <c r="J21">
        <v>50</v>
      </c>
      <c r="K21">
        <v>25</v>
      </c>
      <c r="L21">
        <v>25</v>
      </c>
      <c r="M21">
        <v>10</v>
      </c>
      <c r="N21">
        <v>74.7</v>
      </c>
      <c r="O21">
        <v>62.25</v>
      </c>
      <c r="P21">
        <v>31.13</v>
      </c>
      <c r="Q21">
        <v>31.13</v>
      </c>
      <c r="R21">
        <v>12.45</v>
      </c>
      <c r="S21">
        <v>19</v>
      </c>
      <c r="T21">
        <v>14.2</v>
      </c>
      <c r="U21">
        <v>9.1999999999999993</v>
      </c>
      <c r="V21">
        <v>9.1999999999999993</v>
      </c>
      <c r="W21">
        <v>4.5999999999999996</v>
      </c>
      <c r="X21">
        <v>48.44</v>
      </c>
      <c r="Y21">
        <v>36.21</v>
      </c>
      <c r="Z21">
        <v>23.45</v>
      </c>
      <c r="AA21">
        <v>23.45</v>
      </c>
      <c r="AB21">
        <v>11.72</v>
      </c>
      <c r="AC21">
        <v>629.33569506016465</v>
      </c>
      <c r="AD21">
        <v>629.33569506016465</v>
      </c>
      <c r="AE21" s="3"/>
      <c r="AF21" s="3"/>
      <c r="AG21" s="3"/>
      <c r="AH21" s="3"/>
      <c r="AI21" s="3"/>
      <c r="AJ21" s="3"/>
      <c r="AK21" s="3"/>
      <c r="AM21" s="3"/>
      <c r="AN21" s="3"/>
    </row>
    <row r="22" spans="1:40" x14ac:dyDescent="0.35">
      <c r="A22">
        <v>202603</v>
      </c>
      <c r="B22" t="s">
        <v>28</v>
      </c>
      <c r="C22">
        <v>2</v>
      </c>
      <c r="D22" t="str">
        <f>+A22&amp;B22</f>
        <v>202603C289</v>
      </c>
      <c r="E22">
        <v>0</v>
      </c>
      <c r="F22">
        <v>288</v>
      </c>
      <c r="G22">
        <v>11276</v>
      </c>
      <c r="H22">
        <v>5</v>
      </c>
      <c r="I22">
        <v>62</v>
      </c>
      <c r="J22">
        <v>50</v>
      </c>
      <c r="K22">
        <v>25</v>
      </c>
      <c r="L22">
        <v>25</v>
      </c>
      <c r="M22">
        <v>10</v>
      </c>
      <c r="N22">
        <v>74.7</v>
      </c>
      <c r="O22">
        <v>62.25</v>
      </c>
      <c r="P22">
        <v>31.13</v>
      </c>
      <c r="Q22">
        <v>31.13</v>
      </c>
      <c r="R22">
        <v>12.45</v>
      </c>
      <c r="S22">
        <v>18</v>
      </c>
      <c r="T22">
        <v>13.7</v>
      </c>
      <c r="U22">
        <v>8.6999999999999993</v>
      </c>
      <c r="V22">
        <v>8.6999999999999993</v>
      </c>
      <c r="W22">
        <v>4.3</v>
      </c>
      <c r="X22">
        <v>45.89</v>
      </c>
      <c r="Y22">
        <v>34.93</v>
      </c>
      <c r="Z22">
        <v>22.17</v>
      </c>
      <c r="AA22">
        <v>22.17</v>
      </c>
      <c r="AB22">
        <v>10.96</v>
      </c>
      <c r="AC22">
        <v>649.91799596263456</v>
      </c>
      <c r="AD22">
        <v>649.91799596263456</v>
      </c>
      <c r="AE22" s="3"/>
      <c r="AF22" s="3"/>
      <c r="AG22" s="3"/>
      <c r="AH22" s="3"/>
      <c r="AI22" s="3"/>
      <c r="AJ22" s="3"/>
      <c r="AK22" s="3"/>
      <c r="AM22" s="3"/>
      <c r="AN22" s="3"/>
    </row>
    <row r="23" spans="1:40" x14ac:dyDescent="0.35">
      <c r="A23">
        <v>202603</v>
      </c>
      <c r="B23" t="s">
        <v>29</v>
      </c>
      <c r="C23">
        <v>2</v>
      </c>
      <c r="D23" t="str">
        <f t="shared" ref="D23:D30" si="2">+A23&amp;B23</f>
        <v>202603C2910</v>
      </c>
      <c r="E23">
        <v>0</v>
      </c>
      <c r="F23">
        <v>288</v>
      </c>
      <c r="G23">
        <v>11276</v>
      </c>
      <c r="H23">
        <v>6</v>
      </c>
      <c r="I23">
        <v>62</v>
      </c>
      <c r="J23">
        <v>50</v>
      </c>
      <c r="K23">
        <v>25</v>
      </c>
      <c r="L23">
        <v>25</v>
      </c>
      <c r="M23">
        <v>10</v>
      </c>
      <c r="N23">
        <v>74.7</v>
      </c>
      <c r="O23">
        <v>62.25</v>
      </c>
      <c r="P23">
        <v>31.13</v>
      </c>
      <c r="Q23">
        <v>31.13</v>
      </c>
      <c r="R23">
        <v>12.45</v>
      </c>
      <c r="S23">
        <v>17</v>
      </c>
      <c r="T23">
        <v>13</v>
      </c>
      <c r="U23">
        <v>8</v>
      </c>
      <c r="V23">
        <v>8</v>
      </c>
      <c r="W23">
        <v>4</v>
      </c>
      <c r="X23">
        <v>43.34</v>
      </c>
      <c r="Y23">
        <v>33.15</v>
      </c>
      <c r="Z23">
        <v>20.39</v>
      </c>
      <c r="AA23">
        <v>20.39</v>
      </c>
      <c r="AB23">
        <v>10.19</v>
      </c>
      <c r="AC23">
        <v>662.36479773590884</v>
      </c>
      <c r="AD23">
        <v>662.36479773590884</v>
      </c>
      <c r="AE23" s="3"/>
      <c r="AF23" s="3"/>
      <c r="AG23" s="3"/>
      <c r="AH23" s="3"/>
      <c r="AI23" s="3"/>
      <c r="AJ23" s="3"/>
      <c r="AK23" s="3"/>
      <c r="AM23" s="3"/>
      <c r="AN23" s="3"/>
    </row>
    <row r="24" spans="1:40" x14ac:dyDescent="0.35">
      <c r="A24">
        <v>202603</v>
      </c>
      <c r="B24" t="s">
        <v>30</v>
      </c>
      <c r="C24">
        <v>2</v>
      </c>
      <c r="D24" t="str">
        <f t="shared" si="2"/>
        <v>202603C2M10</v>
      </c>
      <c r="E24">
        <v>0</v>
      </c>
      <c r="F24">
        <v>288</v>
      </c>
      <c r="G24">
        <v>11276</v>
      </c>
      <c r="H24">
        <v>9</v>
      </c>
      <c r="I24">
        <v>60</v>
      </c>
      <c r="J24">
        <v>35</v>
      </c>
      <c r="K24">
        <v>20</v>
      </c>
      <c r="L24">
        <v>20</v>
      </c>
      <c r="M24">
        <v>9.5500000000000007</v>
      </c>
      <c r="N24">
        <v>74.7</v>
      </c>
      <c r="O24">
        <v>43.58</v>
      </c>
      <c r="P24">
        <v>24.9</v>
      </c>
      <c r="Q24">
        <v>24.9</v>
      </c>
      <c r="R24">
        <v>11.89</v>
      </c>
      <c r="S24">
        <v>12.7</v>
      </c>
      <c r="T24">
        <v>10.01</v>
      </c>
      <c r="U24">
        <v>7.81</v>
      </c>
      <c r="V24">
        <v>7.81</v>
      </c>
      <c r="W24">
        <v>4.97</v>
      </c>
      <c r="X24">
        <v>32.380000000000003</v>
      </c>
      <c r="Y24">
        <v>25.53</v>
      </c>
      <c r="Z24">
        <v>19.899999999999999</v>
      </c>
      <c r="AA24">
        <v>19.899999999999999</v>
      </c>
      <c r="AB24">
        <v>12.67</v>
      </c>
      <c r="AC24">
        <v>761.77499604179866</v>
      </c>
      <c r="AD24">
        <v>761.77499604179866</v>
      </c>
      <c r="AE24" s="3"/>
      <c r="AF24" s="3"/>
      <c r="AG24" s="3"/>
      <c r="AH24" s="3"/>
      <c r="AI24" s="3"/>
      <c r="AJ24" s="3"/>
      <c r="AK24" s="3"/>
      <c r="AM24" s="3"/>
      <c r="AN24" s="3"/>
    </row>
    <row r="25" spans="1:40" x14ac:dyDescent="0.35">
      <c r="A25">
        <v>202603</v>
      </c>
      <c r="B25" t="s">
        <v>31</v>
      </c>
      <c r="C25">
        <v>3</v>
      </c>
      <c r="D25" t="str">
        <f t="shared" si="2"/>
        <v>202603C3</v>
      </c>
      <c r="E25">
        <v>0</v>
      </c>
      <c r="F25">
        <v>288</v>
      </c>
      <c r="G25">
        <v>11276</v>
      </c>
      <c r="H25">
        <v>16</v>
      </c>
      <c r="I25">
        <v>56.59</v>
      </c>
      <c r="J25">
        <v>32.54</v>
      </c>
      <c r="K25">
        <v>18.649999999999999</v>
      </c>
      <c r="L25">
        <v>18.649999999999999</v>
      </c>
      <c r="M25">
        <v>11.87</v>
      </c>
      <c r="N25">
        <v>70.45</v>
      </c>
      <c r="O25">
        <v>40.51</v>
      </c>
      <c r="P25">
        <v>23.22</v>
      </c>
      <c r="Q25">
        <v>23.22</v>
      </c>
      <c r="R25">
        <v>14.78</v>
      </c>
      <c r="S25">
        <v>8.06</v>
      </c>
      <c r="T25">
        <v>6.22</v>
      </c>
      <c r="U25">
        <v>4.66</v>
      </c>
      <c r="V25">
        <v>4.66</v>
      </c>
      <c r="W25">
        <v>2.97</v>
      </c>
      <c r="X25">
        <v>20.55</v>
      </c>
      <c r="Y25">
        <v>15.86</v>
      </c>
      <c r="Z25">
        <v>11.88</v>
      </c>
      <c r="AA25">
        <v>11.88</v>
      </c>
      <c r="AB25">
        <v>7.56</v>
      </c>
      <c r="AC25">
        <v>1027.7264981792275</v>
      </c>
      <c r="AD25">
        <v>1027.7264981792275</v>
      </c>
      <c r="AE25" s="3"/>
      <c r="AF25" s="3"/>
      <c r="AG25" s="3"/>
      <c r="AH25" s="3"/>
      <c r="AI25" s="3"/>
      <c r="AJ25" s="3"/>
      <c r="AK25" s="3"/>
      <c r="AM25" s="3"/>
      <c r="AN25" s="3"/>
    </row>
    <row r="26" spans="1:40" x14ac:dyDescent="0.35">
      <c r="A26">
        <v>202603</v>
      </c>
      <c r="B26" t="s">
        <v>32</v>
      </c>
      <c r="C26" t="s">
        <v>32</v>
      </c>
      <c r="D26" t="str">
        <f t="shared" si="2"/>
        <v>202603C2S2</v>
      </c>
      <c r="E26">
        <v>0</v>
      </c>
      <c r="F26">
        <v>288</v>
      </c>
      <c r="G26">
        <v>11276</v>
      </c>
      <c r="H26">
        <v>22</v>
      </c>
      <c r="I26">
        <v>63.04</v>
      </c>
      <c r="J26">
        <v>32.96</v>
      </c>
      <c r="K26">
        <v>25.81</v>
      </c>
      <c r="L26">
        <v>25.81</v>
      </c>
      <c r="M26">
        <v>16.43</v>
      </c>
      <c r="N26">
        <v>78.48</v>
      </c>
      <c r="O26">
        <v>41.04</v>
      </c>
      <c r="P26">
        <v>32.130000000000003</v>
      </c>
      <c r="Q26">
        <v>32.130000000000003</v>
      </c>
      <c r="R26">
        <v>20.46</v>
      </c>
      <c r="S26">
        <v>8.76</v>
      </c>
      <c r="T26">
        <v>6.76</v>
      </c>
      <c r="U26">
        <v>5.07</v>
      </c>
      <c r="V26">
        <v>5.07</v>
      </c>
      <c r="W26">
        <v>3.23</v>
      </c>
      <c r="X26">
        <v>22.33</v>
      </c>
      <c r="Y26">
        <v>17.239999999999998</v>
      </c>
      <c r="Z26">
        <v>12.92</v>
      </c>
      <c r="AA26">
        <v>12.92</v>
      </c>
      <c r="AB26">
        <v>8.23</v>
      </c>
      <c r="AC26">
        <v>1081.3162998733376</v>
      </c>
      <c r="AD26">
        <v>1081.3162998733376</v>
      </c>
      <c r="AE26" s="3"/>
      <c r="AF26" s="3"/>
      <c r="AG26" s="3"/>
      <c r="AH26" s="3"/>
      <c r="AI26" s="3"/>
      <c r="AJ26" s="3"/>
      <c r="AK26" s="3"/>
      <c r="AM26" s="3"/>
      <c r="AN26" s="3"/>
    </row>
    <row r="27" spans="1:40" x14ac:dyDescent="0.35">
      <c r="A27">
        <v>202603</v>
      </c>
      <c r="B27" t="s">
        <v>33</v>
      </c>
      <c r="C27" t="s">
        <v>33</v>
      </c>
      <c r="D27" t="str">
        <f t="shared" si="2"/>
        <v>202603C2S3</v>
      </c>
      <c r="E27">
        <v>0</v>
      </c>
      <c r="F27">
        <v>288</v>
      </c>
      <c r="G27">
        <v>11276</v>
      </c>
      <c r="H27">
        <v>27</v>
      </c>
      <c r="I27">
        <v>63.04</v>
      </c>
      <c r="J27">
        <v>32.96</v>
      </c>
      <c r="K27">
        <v>25.81</v>
      </c>
      <c r="L27">
        <v>25.81</v>
      </c>
      <c r="M27">
        <v>16.43</v>
      </c>
      <c r="N27">
        <v>78.48</v>
      </c>
      <c r="O27">
        <v>41.04</v>
      </c>
      <c r="P27">
        <v>32.130000000000003</v>
      </c>
      <c r="Q27">
        <v>32.130000000000003</v>
      </c>
      <c r="R27">
        <v>20.46</v>
      </c>
      <c r="S27">
        <v>8.76</v>
      </c>
      <c r="T27">
        <v>6.76</v>
      </c>
      <c r="U27">
        <v>5.07</v>
      </c>
      <c r="V27">
        <v>5.07</v>
      </c>
      <c r="W27">
        <v>3.23</v>
      </c>
      <c r="X27">
        <v>22.33</v>
      </c>
      <c r="Y27">
        <v>17.239999999999998</v>
      </c>
      <c r="Z27">
        <v>12.92</v>
      </c>
      <c r="AA27">
        <v>12.92</v>
      </c>
      <c r="AB27">
        <v>8.23</v>
      </c>
      <c r="AC27">
        <v>1174.6818001899937</v>
      </c>
      <c r="AD27">
        <v>1174.6818001899937</v>
      </c>
      <c r="AE27" s="3"/>
      <c r="AF27" s="3"/>
      <c r="AG27" s="3"/>
      <c r="AH27" s="3"/>
      <c r="AI27" s="3"/>
      <c r="AJ27" s="3"/>
      <c r="AK27" s="3"/>
      <c r="AM27" s="3"/>
      <c r="AN27" s="3"/>
    </row>
    <row r="28" spans="1:40" x14ac:dyDescent="0.35">
      <c r="A28">
        <v>202603</v>
      </c>
      <c r="B28" t="s">
        <v>34</v>
      </c>
      <c r="C28" t="s">
        <v>34</v>
      </c>
      <c r="D28" t="str">
        <f t="shared" si="2"/>
        <v>202603C3S2</v>
      </c>
      <c r="E28">
        <v>0</v>
      </c>
      <c r="F28">
        <v>288</v>
      </c>
      <c r="G28">
        <v>11276</v>
      </c>
      <c r="H28">
        <v>31</v>
      </c>
      <c r="I28">
        <v>56.25</v>
      </c>
      <c r="J28">
        <v>33.130000000000003</v>
      </c>
      <c r="K28">
        <v>23.57</v>
      </c>
      <c r="L28">
        <v>23.57</v>
      </c>
      <c r="M28">
        <v>15</v>
      </c>
      <c r="N28">
        <v>70.03</v>
      </c>
      <c r="O28">
        <v>41.25</v>
      </c>
      <c r="P28">
        <v>29.34</v>
      </c>
      <c r="Q28">
        <v>29.34</v>
      </c>
      <c r="R28">
        <v>18.68</v>
      </c>
      <c r="S28">
        <v>6.8</v>
      </c>
      <c r="T28">
        <v>5.04</v>
      </c>
      <c r="U28">
        <v>3.42</v>
      </c>
      <c r="V28">
        <v>3.42</v>
      </c>
      <c r="W28">
        <v>2.88</v>
      </c>
      <c r="X28">
        <v>17.34</v>
      </c>
      <c r="Y28">
        <v>12.85</v>
      </c>
      <c r="Z28">
        <v>8.7200000000000006</v>
      </c>
      <c r="AA28">
        <v>8.7200000000000006</v>
      </c>
      <c r="AB28">
        <v>5.55</v>
      </c>
      <c r="AC28">
        <v>1334.2327026599114</v>
      </c>
      <c r="AD28">
        <v>1334.2327026599114</v>
      </c>
      <c r="AE28" s="3"/>
      <c r="AF28" s="3"/>
      <c r="AG28" s="3"/>
      <c r="AH28" s="3"/>
      <c r="AI28" s="3"/>
      <c r="AJ28" s="3"/>
      <c r="AK28" s="3"/>
      <c r="AM28" s="3"/>
      <c r="AN28" s="3"/>
    </row>
    <row r="29" spans="1:40" x14ac:dyDescent="0.35">
      <c r="A29">
        <v>202603</v>
      </c>
      <c r="B29" t="s">
        <v>35</v>
      </c>
      <c r="C29" t="s">
        <v>35</v>
      </c>
      <c r="D29" t="str">
        <f t="shared" si="2"/>
        <v>202603C3S3</v>
      </c>
      <c r="E29">
        <v>0</v>
      </c>
      <c r="F29">
        <v>288</v>
      </c>
      <c r="G29">
        <v>11276</v>
      </c>
      <c r="H29">
        <v>34</v>
      </c>
      <c r="I29">
        <v>56.25</v>
      </c>
      <c r="J29">
        <v>33.130000000000003</v>
      </c>
      <c r="K29">
        <v>23.57</v>
      </c>
      <c r="L29">
        <v>23.57</v>
      </c>
      <c r="M29">
        <v>15</v>
      </c>
      <c r="N29">
        <v>70.03</v>
      </c>
      <c r="O29">
        <v>41.25</v>
      </c>
      <c r="P29">
        <v>29.34</v>
      </c>
      <c r="Q29">
        <v>29.34</v>
      </c>
      <c r="R29">
        <v>18.68</v>
      </c>
      <c r="S29">
        <v>6.48</v>
      </c>
      <c r="T29">
        <v>4.8</v>
      </c>
      <c r="U29">
        <v>3.26</v>
      </c>
      <c r="V29">
        <v>3.26</v>
      </c>
      <c r="W29">
        <v>2.0699999999999998</v>
      </c>
      <c r="X29">
        <v>16.52</v>
      </c>
      <c r="Y29">
        <v>12.24</v>
      </c>
      <c r="Z29">
        <v>8.31</v>
      </c>
      <c r="AA29">
        <v>8.31</v>
      </c>
      <c r="AB29">
        <v>5.28</v>
      </c>
      <c r="AC29">
        <v>1587.6381016466119</v>
      </c>
      <c r="AD29">
        <v>1587.6381016466119</v>
      </c>
      <c r="AE29" s="3"/>
      <c r="AF29" s="3"/>
      <c r="AG29" s="3"/>
      <c r="AH29" s="3"/>
      <c r="AI29" s="3"/>
      <c r="AJ29" s="3"/>
      <c r="AK29" s="3"/>
      <c r="AM29" s="3"/>
      <c r="AN29" s="3"/>
    </row>
    <row r="30" spans="1:40" x14ac:dyDescent="0.35">
      <c r="A30">
        <v>202603</v>
      </c>
      <c r="B30" t="s">
        <v>39</v>
      </c>
      <c r="C30" t="s">
        <v>39</v>
      </c>
      <c r="D30" t="str">
        <f t="shared" si="2"/>
        <v>202603V3</v>
      </c>
      <c r="E30">
        <v>0</v>
      </c>
      <c r="F30">
        <v>288</v>
      </c>
      <c r="G30">
        <v>11276</v>
      </c>
      <c r="H30">
        <v>25</v>
      </c>
      <c r="I30">
        <v>57.5</v>
      </c>
      <c r="J30">
        <v>28.5</v>
      </c>
      <c r="K30">
        <v>18.5</v>
      </c>
      <c r="L30">
        <v>18.5</v>
      </c>
      <c r="M30">
        <v>11.77</v>
      </c>
      <c r="N30">
        <v>71.59</v>
      </c>
      <c r="O30">
        <v>35.479999999999997</v>
      </c>
      <c r="P30">
        <v>23.03</v>
      </c>
      <c r="Q30">
        <v>23.03</v>
      </c>
      <c r="R30">
        <v>14.66</v>
      </c>
      <c r="S30">
        <v>9.27</v>
      </c>
      <c r="T30">
        <v>8.4</v>
      </c>
      <c r="U30">
        <v>7.1</v>
      </c>
      <c r="V30">
        <v>7.1</v>
      </c>
      <c r="W30">
        <v>4.5199999999999996</v>
      </c>
      <c r="X30">
        <v>22.25</v>
      </c>
      <c r="Y30">
        <v>20.16</v>
      </c>
      <c r="Z30">
        <v>17.03</v>
      </c>
      <c r="AA30">
        <v>17.03</v>
      </c>
      <c r="AB30">
        <v>10.84</v>
      </c>
      <c r="AC30">
        <v>1791.6383985117166</v>
      </c>
      <c r="AD30">
        <v>1791.6383985117166</v>
      </c>
      <c r="AE30" s="3"/>
      <c r="AM30" s="4"/>
      <c r="AN30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Pablo Matiz Gaviria</dc:creator>
  <cp:lastModifiedBy>Juan Pablo Matiz Gaviria</cp:lastModifiedBy>
  <dcterms:created xsi:type="dcterms:W3CDTF">2025-05-23T19:45:34Z</dcterms:created>
  <dcterms:modified xsi:type="dcterms:W3CDTF">2026-03-02T02:12:18Z</dcterms:modified>
</cp:coreProperties>
</file>